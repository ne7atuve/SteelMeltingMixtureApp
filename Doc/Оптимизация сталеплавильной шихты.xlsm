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YD\YandexDisk\СТУДЕНТЫ\!Магистранты\2021 - Бабушкин Борис\"/>
    </mc:Choice>
  </mc:AlternateContent>
  <xr:revisionPtr revIDLastSave="0" documentId="13_ncr:1_{A775C13F-AD1E-42BD-A58D-CE4EE76EB955}" xr6:coauthVersionLast="44" xr6:coauthVersionMax="44" xr10:uidLastSave="{00000000-0000-0000-0000-000000000000}"/>
  <bookViews>
    <workbookView xWindow="1590" yWindow="3915" windowWidth="25860" windowHeight="11130" xr2:uid="{00000000-000D-0000-FFFF-FFFF00000000}"/>
  </bookViews>
  <sheets>
    <sheet name="Лист 1" sheetId="10" r:id="rId1"/>
    <sheet name="Без макроса" sheetId="11" r:id="rId2"/>
  </sheets>
  <definedNames>
    <definedName name="solver_adj" localSheetId="1" hidden="1">'Без макроса'!$A$5:$A$11</definedName>
    <definedName name="solver_adj" localSheetId="0" hidden="1">'Лист 1'!$A$5:$A$11</definedName>
    <definedName name="solver_cvg" localSheetId="1" hidden="1">0.001</definedName>
    <definedName name="solver_cvg" localSheetId="0" hidden="1">0.001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hs1" localSheetId="1" hidden="1">'Без макроса'!$A$10</definedName>
    <definedName name="solver_lhs1" localSheetId="0" hidden="1">'Лист 1'!$A$5</definedName>
    <definedName name="solver_lhs10" localSheetId="1" hidden="1">'Без макроса'!$E$29</definedName>
    <definedName name="solver_lhs10" localSheetId="0" hidden="1">'Лист 1'!$A$9</definedName>
    <definedName name="solver_lhs11" localSheetId="1" hidden="1">'Без макроса'!$A$8</definedName>
    <definedName name="solver_lhs11" localSheetId="0" hidden="1">'Лист 1'!$A$10</definedName>
    <definedName name="solver_lhs12" localSheetId="1" hidden="1">'Без макроса'!$A$9</definedName>
    <definedName name="solver_lhs12" localSheetId="0" hidden="1">'Лист 1'!$A$10</definedName>
    <definedName name="solver_lhs13" localSheetId="1" hidden="1">'Без макроса'!$E$26</definedName>
    <definedName name="solver_lhs13" localSheetId="0" hidden="1">'Лист 1'!$A$11</definedName>
    <definedName name="solver_lhs14" localSheetId="1" hidden="1">'Без макроса'!$A$9</definedName>
    <definedName name="solver_lhs14" localSheetId="0" hidden="1">'Лист 1'!$A$11</definedName>
    <definedName name="solver_lhs15" localSheetId="1" hidden="1">'Без макроса'!$E$29</definedName>
    <definedName name="solver_lhs15" localSheetId="0" hidden="1">'Лист 1'!$E$26</definedName>
    <definedName name="solver_lhs16" localSheetId="1" hidden="1">'Без макроса'!$E$26</definedName>
    <definedName name="solver_lhs16" localSheetId="0" hidden="1">'Лист 1'!$E$26</definedName>
    <definedName name="solver_lhs17" localSheetId="1" hidden="1">'Без макроса'!$A$7</definedName>
    <definedName name="solver_lhs17" localSheetId="0" hidden="1">'Лист 1'!$E$27</definedName>
    <definedName name="solver_lhs18" localSheetId="1" hidden="1">'Без макроса'!$E$27</definedName>
    <definedName name="solver_lhs18" localSheetId="0" hidden="1">'Лист 1'!$E$27</definedName>
    <definedName name="solver_lhs19" localSheetId="1" hidden="1">'Без макроса'!$E$27</definedName>
    <definedName name="solver_lhs19" localSheetId="0" hidden="1">'Лист 1'!$E$28</definedName>
    <definedName name="solver_lhs2" localSheetId="1" hidden="1">'Без макроса'!$A$12</definedName>
    <definedName name="solver_lhs2" localSheetId="0" hidden="1">'Лист 1'!$A$5</definedName>
    <definedName name="solver_lhs20" localSheetId="1" hidden="1">'Без макроса'!$E$28</definedName>
    <definedName name="solver_lhs20" localSheetId="0" hidden="1">'Лист 1'!$E$28</definedName>
    <definedName name="solver_lhs21" localSheetId="0" hidden="1">'Лист 1'!$E$29</definedName>
    <definedName name="solver_lhs22" localSheetId="0" hidden="1">'Лист 1'!$E$29</definedName>
    <definedName name="solver_lhs23" localSheetId="0" hidden="1">'Лист 1'!$A$12</definedName>
    <definedName name="solver_lhs3" localSheetId="1" hidden="1">'Без макроса'!$A$10</definedName>
    <definedName name="solver_lhs3" localSheetId="0" hidden="1">'Лист 1'!$A$6</definedName>
    <definedName name="solver_lhs4" localSheetId="1" hidden="1">'Без макроса'!$A$5</definedName>
    <definedName name="solver_lhs4" localSheetId="0" hidden="1">'Лист 1'!$A$6</definedName>
    <definedName name="solver_lhs5" localSheetId="1" hidden="1">'Без макроса'!$E$28</definedName>
    <definedName name="solver_lhs5" localSheetId="0" hidden="1">'Лист 1'!$A$7</definedName>
    <definedName name="solver_lhs6" localSheetId="1" hidden="1">'Без макроса'!$A$7</definedName>
    <definedName name="solver_lhs6" localSheetId="0" hidden="1">'Лист 1'!$A$7</definedName>
    <definedName name="solver_lhs7" localSheetId="1" hidden="1">'Без макроса'!$A$8</definedName>
    <definedName name="solver_lhs7" localSheetId="0" hidden="1">'Лист 1'!$A$8</definedName>
    <definedName name="solver_lhs8" localSheetId="1" hidden="1">'Без макроса'!$A$5:$A$11</definedName>
    <definedName name="solver_lhs8" localSheetId="0" hidden="1">'Лист 1'!$A$8</definedName>
    <definedName name="solver_lhs9" localSheetId="1" hidden="1">'Без макроса'!$A$5</definedName>
    <definedName name="solver_lhs9" localSheetId="0" hidden="1">'Лист 1'!$A$9</definedName>
    <definedName name="solver_lin" localSheetId="1" hidden="1">2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2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20</definedName>
    <definedName name="solver_num" localSheetId="0" hidden="1">23</definedName>
    <definedName name="solver_nwt" localSheetId="1" hidden="1">1</definedName>
    <definedName name="solver_nwt" localSheetId="0" hidden="1">1</definedName>
    <definedName name="solver_opt" localSheetId="1" hidden="1">'Без макроса'!$B$32</definedName>
    <definedName name="solver_opt" localSheetId="0" hidden="1">'Лист 1'!$B$32</definedName>
    <definedName name="solver_pre" localSheetId="1" hidden="1">0.001</definedName>
    <definedName name="solver_pre" localSheetId="0" hidden="1">0.001</definedName>
    <definedName name="solver_rbv" localSheetId="1" hidden="1">1</definedName>
    <definedName name="solver_rbv" localSheetId="0" hidden="1">1</definedName>
    <definedName name="solver_rel1" localSheetId="1" hidden="1">1</definedName>
    <definedName name="solver_rel1" localSheetId="0" hidden="1">3</definedName>
    <definedName name="solver_rel10" localSheetId="1" hidden="1">3</definedName>
    <definedName name="solver_rel10" localSheetId="0" hidden="1">1</definedName>
    <definedName name="solver_rel11" localSheetId="1" hidden="1">1</definedName>
    <definedName name="solver_rel11" localSheetId="0" hidden="1">3</definedName>
    <definedName name="solver_rel12" localSheetId="1" hidden="1">3</definedName>
    <definedName name="solver_rel12" localSheetId="0" hidden="1">1</definedName>
    <definedName name="solver_rel13" localSheetId="1" hidden="1">1</definedName>
    <definedName name="solver_rel13" localSheetId="0" hidden="1">3</definedName>
    <definedName name="solver_rel14" localSheetId="1" hidden="1">1</definedName>
    <definedName name="solver_rel14" localSheetId="0" hidden="1">1</definedName>
    <definedName name="solver_rel15" localSheetId="1" hidden="1">1</definedName>
    <definedName name="solver_rel15" localSheetId="0" hidden="1">3</definedName>
    <definedName name="solver_rel16" localSheetId="1" hidden="1">3</definedName>
    <definedName name="solver_rel16" localSheetId="0" hidden="1">1</definedName>
    <definedName name="solver_rel17" localSheetId="1" hidden="1">1</definedName>
    <definedName name="solver_rel17" localSheetId="0" hidden="1">3</definedName>
    <definedName name="solver_rel18" localSheetId="1" hidden="1">3</definedName>
    <definedName name="solver_rel18" localSheetId="0" hidden="1">1</definedName>
    <definedName name="solver_rel19" localSheetId="1" hidden="1">1</definedName>
    <definedName name="solver_rel19" localSheetId="0" hidden="1">3</definedName>
    <definedName name="solver_rel2" localSheetId="1" hidden="1">2</definedName>
    <definedName name="solver_rel2" localSheetId="0" hidden="1">1</definedName>
    <definedName name="solver_rel20" localSheetId="1" hidden="1">1</definedName>
    <definedName name="solver_rel20" localSheetId="0" hidden="1">1</definedName>
    <definedName name="solver_rel21" localSheetId="0" hidden="1">3</definedName>
    <definedName name="solver_rel22" localSheetId="0" hidden="1">1</definedName>
    <definedName name="solver_rel23" localSheetId="0" hidden="1">2</definedName>
    <definedName name="solver_rel3" localSheetId="1" hidden="1">3</definedName>
    <definedName name="solver_rel3" localSheetId="0" hidden="1">3</definedName>
    <definedName name="solver_rel4" localSheetId="1" hidden="1">1</definedName>
    <definedName name="solver_rel4" localSheetId="0" hidden="1">1</definedName>
    <definedName name="solver_rel5" localSheetId="1" hidden="1">3</definedName>
    <definedName name="solver_rel5" localSheetId="0" hidden="1">3</definedName>
    <definedName name="solver_rel6" localSheetId="1" hidden="1">3</definedName>
    <definedName name="solver_rel6" localSheetId="0" hidden="1">1</definedName>
    <definedName name="solver_rel7" localSheetId="1" hidden="1">3</definedName>
    <definedName name="solver_rel7" localSheetId="0" hidden="1">3</definedName>
    <definedName name="solver_rel8" localSheetId="1" hidden="1">3</definedName>
    <definedName name="solver_rel8" localSheetId="0" hidden="1">1</definedName>
    <definedName name="solver_rel9" localSheetId="1" hidden="1">3</definedName>
    <definedName name="solver_rel9" localSheetId="0" hidden="1">3</definedName>
    <definedName name="solver_rhs1" localSheetId="1" hidden="1">'Без макроса'!$D$21</definedName>
    <definedName name="solver_rhs1" localSheetId="0" hidden="1">'Лист 1'!$C$16</definedName>
    <definedName name="solver_rhs10" localSheetId="1" hidden="1">'Без макроса'!$C$29</definedName>
    <definedName name="solver_rhs10" localSheetId="0" hidden="1">'Лист 1'!$D$20</definedName>
    <definedName name="solver_rhs11" localSheetId="1" hidden="1">'Без макроса'!$D$19</definedName>
    <definedName name="solver_rhs11" localSheetId="0" hidden="1">'Лист 1'!$C$21</definedName>
    <definedName name="solver_rhs12" localSheetId="1" hidden="1">'Без макроса'!$C$20</definedName>
    <definedName name="solver_rhs12" localSheetId="0" hidden="1">'Лист 1'!$D$21</definedName>
    <definedName name="solver_rhs13" localSheetId="1" hidden="1">'Без макроса'!$D$26</definedName>
    <definedName name="solver_rhs13" localSheetId="0" hidden="1">'Лист 1'!$C$22</definedName>
    <definedName name="solver_rhs14" localSheetId="1" hidden="1">'Без макроса'!$D$20</definedName>
    <definedName name="solver_rhs14" localSheetId="0" hidden="1">'Лист 1'!$D$22</definedName>
    <definedName name="solver_rhs15" localSheetId="1" hidden="1">'Без макроса'!$D$29</definedName>
    <definedName name="solver_rhs15" localSheetId="0" hidden="1">'Лист 1'!$C$26</definedName>
    <definedName name="solver_rhs16" localSheetId="1" hidden="1">'Без макроса'!$C$26</definedName>
    <definedName name="solver_rhs16" localSheetId="0" hidden="1">'Лист 1'!$D$26</definedName>
    <definedName name="solver_rhs17" localSheetId="1" hidden="1">'Без макроса'!$D$18</definedName>
    <definedName name="solver_rhs17" localSheetId="0" hidden="1">'Лист 1'!$C$27</definedName>
    <definedName name="solver_rhs18" localSheetId="1" hidden="1">'Без макроса'!$C$27</definedName>
    <definedName name="solver_rhs18" localSheetId="0" hidden="1">'Лист 1'!$D$27</definedName>
    <definedName name="solver_rhs19" localSheetId="1" hidden="1">'Без макроса'!$D$27</definedName>
    <definedName name="solver_rhs19" localSheetId="0" hidden="1">'Лист 1'!$C$28</definedName>
    <definedName name="solver_rhs2" localSheetId="1" hidden="1">100</definedName>
    <definedName name="solver_rhs2" localSheetId="0" hidden="1">'Лист 1'!$D$16</definedName>
    <definedName name="solver_rhs20" localSheetId="1" hidden="1">'Без макроса'!$D$28</definedName>
    <definedName name="solver_rhs20" localSheetId="0" hidden="1">'Лист 1'!$D$28</definedName>
    <definedName name="solver_rhs21" localSheetId="0" hidden="1">'Лист 1'!$C$29</definedName>
    <definedName name="solver_rhs22" localSheetId="0" hidden="1">'Лист 1'!$D$29</definedName>
    <definedName name="solver_rhs23" localSheetId="0" hidden="1">100</definedName>
    <definedName name="solver_rhs3" localSheetId="1" hidden="1">'Без макроса'!$C$21</definedName>
    <definedName name="solver_rhs3" localSheetId="0" hidden="1">'Лист 1'!$C$17</definedName>
    <definedName name="solver_rhs4" localSheetId="1" hidden="1">'Без макроса'!$D$16</definedName>
    <definedName name="solver_rhs4" localSheetId="0" hidden="1">'Лист 1'!$D$17</definedName>
    <definedName name="solver_rhs5" localSheetId="1" hidden="1">'Без макроса'!$C$28</definedName>
    <definedName name="solver_rhs5" localSheetId="0" hidden="1">'Лист 1'!$C$18</definedName>
    <definedName name="solver_rhs6" localSheetId="1" hidden="1">'Без макроса'!$C$18</definedName>
    <definedName name="solver_rhs6" localSheetId="0" hidden="1">'Лист 1'!$D$18</definedName>
    <definedName name="solver_rhs7" localSheetId="1" hidden="1">'Без макроса'!$C$19</definedName>
    <definedName name="solver_rhs7" localSheetId="0" hidden="1">'Лист 1'!$C$19</definedName>
    <definedName name="solver_rhs8" localSheetId="1" hidden="1">0</definedName>
    <definedName name="solver_rhs8" localSheetId="0" hidden="1">'Лист 1'!$D$19</definedName>
    <definedName name="solver_rhs9" localSheetId="1" hidden="1">'Без макроса'!$C$16</definedName>
    <definedName name="solver_rhs9" localSheetId="0" hidden="1">'Лист 1'!$C$20</definedName>
    <definedName name="solver_rlx" localSheetId="1" hidden="1">1</definedName>
    <definedName name="solver_rlx" localSheetId="0" hidden="1">1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2" i="10" l="1"/>
  <c r="B32" i="11" l="1"/>
  <c r="E29" i="11" l="1"/>
  <c r="E28" i="11"/>
  <c r="E27" i="11"/>
  <c r="E26" i="11"/>
  <c r="A12" i="11"/>
  <c r="E29" i="10" l="1"/>
  <c r="E28" i="10"/>
  <c r="E27" i="10"/>
  <c r="E26" i="10"/>
  <c r="A1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mt72prokhorova</author>
  </authors>
  <commentList>
    <comment ref="A12" authorId="0" shapeId="0" xr:uid="{00000000-0006-0000-0000-000001000000}">
      <text>
        <r>
          <rPr>
            <sz val="8"/>
            <color indexed="81"/>
            <rFont val="Tahoma"/>
            <family val="2"/>
            <charset val="204"/>
          </rPr>
          <t>Сумма долей компонентов шихты должна быть равна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mt72prokhorova</author>
  </authors>
  <commentList>
    <comment ref="A12" authorId="0" shapeId="0" xr:uid="{00000000-0006-0000-0100-000001000000}">
      <text>
        <r>
          <rPr>
            <sz val="8"/>
            <color indexed="81"/>
            <rFont val="Tahoma"/>
            <family val="2"/>
            <charset val="204"/>
          </rPr>
          <t>Сумма долей компонентов шихты должна быть равна 100</t>
        </r>
      </text>
    </comment>
  </commentList>
</comments>
</file>

<file path=xl/sharedStrings.xml><?xml version="1.0" encoding="utf-8"?>
<sst xmlns="http://schemas.openxmlformats.org/spreadsheetml/2006/main" count="78" uniqueCount="29">
  <si>
    <t>Компонент шихты</t>
  </si>
  <si>
    <t>Si</t>
  </si>
  <si>
    <t>Mn</t>
  </si>
  <si>
    <t>Стоимость, усл.ед./ тонну</t>
  </si>
  <si>
    <t>Чугун зеркальный</t>
  </si>
  <si>
    <t>Лом чугунный</t>
  </si>
  <si>
    <t>Лом стальной</t>
  </si>
  <si>
    <t>Возврат</t>
  </si>
  <si>
    <t>Min</t>
  </si>
  <si>
    <t>Max</t>
  </si>
  <si>
    <t>по [Si]</t>
  </si>
  <si>
    <t>текущее значение</t>
  </si>
  <si>
    <t>Ограничения на содержание химических элеметов в шихте, % масс.</t>
  </si>
  <si>
    <t>Хим. Элемент</t>
  </si>
  <si>
    <t>по [Mn]</t>
  </si>
  <si>
    <t xml:space="preserve">текущее </t>
  </si>
  <si>
    <t>значение,%</t>
  </si>
  <si>
    <t xml:space="preserve">                  </t>
  </si>
  <si>
    <t>Чугун литейный хромоникелевый</t>
  </si>
  <si>
    <t>Чугун литейный коксовый</t>
  </si>
  <si>
    <t>Ферромарганец</t>
  </si>
  <si>
    <t>Cr</t>
  </si>
  <si>
    <t>Ni</t>
  </si>
  <si>
    <t>по [Cr]</t>
  </si>
  <si>
    <t>по [Ni]</t>
  </si>
  <si>
    <r>
      <t xml:space="preserve">Целевая функция </t>
    </r>
    <r>
      <rPr>
        <sz val="10"/>
        <rFont val="Arial Cyr"/>
        <family val="2"/>
        <charset val="204"/>
      </rPr>
      <t>(стоимость компонентов, израсходованных для приготовления шихты, усл.ед./т)</t>
    </r>
  </si>
  <si>
    <t xml:space="preserve">                                 Химический состав,%</t>
  </si>
  <si>
    <t>Многокомпонентная шихта для сталеплавильного производства</t>
  </si>
  <si>
    <t>Ограничения на содержание компонентов шихты, % от общего веса шихты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</si>
</sst>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 Cyr"/>
      <charset val="204"/>
    </font>
    <font>
      <b/>
      <sz val="12"/>
      <name val="Arial Cyr"/>
      <family val="2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color indexed="81"/>
      <name val="Tahoma"/>
      <family val="2"/>
      <charset val="204"/>
    </font>
    <font>
      <sz val="10"/>
      <color rgb="FF000000"/>
      <name val="Arial Cy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center"/>
    </xf>
    <xf numFmtId="0" fontId="2" fillId="0" borderId="0" xfId="0" applyFont="1"/>
    <xf numFmtId="0" fontId="3" fillId="0" borderId="2" xfId="0" applyFont="1" applyBorder="1" applyAlignment="1">
      <alignment horizontal="center"/>
    </xf>
    <xf numFmtId="0" fontId="0" fillId="0" borderId="5" xfId="0" applyBorder="1"/>
    <xf numFmtId="0" fontId="0" fillId="0" borderId="0" xfId="0" applyBorder="1" applyAlignment="1">
      <alignment horizontal="center"/>
    </xf>
    <xf numFmtId="0" fontId="0" fillId="0" borderId="17" xfId="0" applyBorder="1"/>
    <xf numFmtId="0" fontId="0" fillId="0" borderId="12" xfId="0" applyFill="1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2" borderId="19" xfId="0" applyNumberFormat="1" applyFill="1" applyBorder="1" applyAlignment="1">
      <alignment horizontal="center"/>
    </xf>
    <xf numFmtId="2" fontId="0" fillId="3" borderId="20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2" fontId="0" fillId="0" borderId="0" xfId="0" applyNumberFormat="1"/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15</xdr:row>
          <xdr:rowOff>114300</xdr:rowOff>
        </xdr:from>
        <xdr:to>
          <xdr:col>6</xdr:col>
          <xdr:colOff>581025</xdr:colOff>
          <xdr:row>18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32"/>
  <sheetViews>
    <sheetView tabSelected="1" topLeftCell="A10" workbookViewId="0">
      <selection activeCell="B32" sqref="B32"/>
    </sheetView>
  </sheetViews>
  <sheetFormatPr defaultRowHeight="12.75" x14ac:dyDescent="0.2"/>
  <cols>
    <col min="1" max="1" width="12.42578125" customWidth="1"/>
    <col min="2" max="2" width="30.140625" customWidth="1"/>
    <col min="3" max="3" width="13.42578125" customWidth="1"/>
    <col min="4" max="4" width="14.140625" customWidth="1"/>
    <col min="5" max="5" width="17" customWidth="1"/>
    <col min="6" max="6" width="14.42578125" customWidth="1"/>
    <col min="7" max="7" width="25" customWidth="1"/>
  </cols>
  <sheetData>
    <row r="1" spans="1:8" ht="15.75" x14ac:dyDescent="0.25">
      <c r="A1" s="1" t="s">
        <v>27</v>
      </c>
    </row>
    <row r="2" spans="1:8" ht="13.5" thickBot="1" x14ac:dyDescent="0.25"/>
    <row r="3" spans="1:8" ht="13.5" thickBot="1" x14ac:dyDescent="0.25">
      <c r="A3" s="4" t="s">
        <v>15</v>
      </c>
      <c r="B3" s="16" t="s">
        <v>0</v>
      </c>
      <c r="C3" s="17" t="s">
        <v>26</v>
      </c>
      <c r="D3" s="3"/>
      <c r="E3" s="23"/>
      <c r="F3" s="23"/>
      <c r="G3" s="4" t="s">
        <v>3</v>
      </c>
      <c r="H3" s="2"/>
    </row>
    <row r="4" spans="1:8" ht="13.5" thickBot="1" x14ac:dyDescent="0.25">
      <c r="A4" s="21" t="s">
        <v>16</v>
      </c>
      <c r="B4" s="21"/>
      <c r="C4" s="22" t="s">
        <v>1</v>
      </c>
      <c r="D4" s="16" t="s">
        <v>2</v>
      </c>
      <c r="E4" s="16" t="s">
        <v>21</v>
      </c>
      <c r="F4" s="16" t="s">
        <v>22</v>
      </c>
      <c r="G4" s="7"/>
      <c r="H4" s="2"/>
    </row>
    <row r="5" spans="1:8" x14ac:dyDescent="0.2">
      <c r="A5" s="39">
        <v>58.333333333333321</v>
      </c>
      <c r="B5" s="5" t="s">
        <v>18</v>
      </c>
      <c r="C5" s="36">
        <v>2.95</v>
      </c>
      <c r="D5" s="8">
        <v>0.55000000000000004</v>
      </c>
      <c r="E5" s="8">
        <v>2.4500000000000002</v>
      </c>
      <c r="F5" s="18">
        <v>1.2</v>
      </c>
      <c r="G5" s="40">
        <v>75.5</v>
      </c>
      <c r="H5" s="2"/>
    </row>
    <row r="6" spans="1:8" x14ac:dyDescent="0.2">
      <c r="A6" s="39">
        <v>4.49400301517516</v>
      </c>
      <c r="B6" s="6" t="s">
        <v>19</v>
      </c>
      <c r="C6" s="37">
        <v>3.64</v>
      </c>
      <c r="D6" s="9">
        <v>0.78</v>
      </c>
      <c r="E6" s="9">
        <v>0</v>
      </c>
      <c r="F6" s="14">
        <v>0</v>
      </c>
      <c r="G6" s="41">
        <v>68</v>
      </c>
      <c r="H6" s="2"/>
    </row>
    <row r="7" spans="1:8" x14ac:dyDescent="0.2">
      <c r="A7" s="39">
        <v>9.9990000000000006</v>
      </c>
      <c r="B7" s="6" t="s">
        <v>4</v>
      </c>
      <c r="C7" s="37">
        <v>2</v>
      </c>
      <c r="D7" s="9">
        <v>23.4</v>
      </c>
      <c r="E7" s="9">
        <v>0</v>
      </c>
      <c r="F7" s="14">
        <v>0</v>
      </c>
      <c r="G7" s="41">
        <v>97</v>
      </c>
      <c r="H7" s="2"/>
    </row>
    <row r="8" spans="1:8" x14ac:dyDescent="0.2">
      <c r="A8" s="39">
        <v>9.1736636514915002</v>
      </c>
      <c r="B8" s="6" t="s">
        <v>5</v>
      </c>
      <c r="C8" s="37">
        <v>1.5</v>
      </c>
      <c r="D8" s="9">
        <v>0.7</v>
      </c>
      <c r="E8" s="9">
        <v>0</v>
      </c>
      <c r="F8" s="14">
        <v>0</v>
      </c>
      <c r="G8" s="41">
        <v>36.200000000000003</v>
      </c>
      <c r="H8" s="2"/>
    </row>
    <row r="9" spans="1:8" x14ac:dyDescent="0.2">
      <c r="A9" s="39">
        <v>6</v>
      </c>
      <c r="B9" s="6" t="s">
        <v>6</v>
      </c>
      <c r="C9" s="37">
        <v>0.5</v>
      </c>
      <c r="D9" s="9">
        <v>0.5</v>
      </c>
      <c r="E9" s="9">
        <v>0</v>
      </c>
      <c r="F9" s="14">
        <v>0</v>
      </c>
      <c r="G9" s="41">
        <v>34.299999999999997</v>
      </c>
      <c r="H9" s="2"/>
    </row>
    <row r="10" spans="1:8" x14ac:dyDescent="0.2">
      <c r="A10" s="39">
        <v>12</v>
      </c>
      <c r="B10" s="6" t="s">
        <v>7</v>
      </c>
      <c r="C10" s="37">
        <v>0.4</v>
      </c>
      <c r="D10" s="9">
        <v>0.65</v>
      </c>
      <c r="E10" s="9">
        <v>0</v>
      </c>
      <c r="F10" s="14">
        <v>0</v>
      </c>
      <c r="G10" s="41">
        <v>36.200000000000003</v>
      </c>
      <c r="H10" s="2"/>
    </row>
    <row r="11" spans="1:8" ht="13.5" thickBot="1" x14ac:dyDescent="0.25">
      <c r="A11" s="39">
        <v>0</v>
      </c>
      <c r="B11" s="24" t="s">
        <v>20</v>
      </c>
      <c r="C11" s="38">
        <v>2</v>
      </c>
      <c r="D11" s="10">
        <v>84.5</v>
      </c>
      <c r="E11" s="10">
        <v>0</v>
      </c>
      <c r="F11" s="15">
        <v>0</v>
      </c>
      <c r="G11" s="42">
        <v>120</v>
      </c>
      <c r="H11" s="2"/>
    </row>
    <row r="12" spans="1:8" x14ac:dyDescent="0.2">
      <c r="A12" s="33">
        <f>SUM(A5:A11)</f>
        <v>99.999999999999972</v>
      </c>
    </row>
    <row r="14" spans="1:8" ht="13.5" thickBot="1" x14ac:dyDescent="0.25">
      <c r="B14" s="19" t="s">
        <v>28</v>
      </c>
    </row>
    <row r="15" spans="1:8" ht="12" customHeight="1" thickBot="1" x14ac:dyDescent="0.25">
      <c r="A15" s="39"/>
      <c r="B15" s="25" t="s">
        <v>0</v>
      </c>
      <c r="C15" s="26" t="s">
        <v>8</v>
      </c>
      <c r="D15" s="27" t="s">
        <v>9</v>
      </c>
      <c r="E15" s="22"/>
      <c r="F15" s="22"/>
    </row>
    <row r="16" spans="1:8" x14ac:dyDescent="0.2">
      <c r="B16" s="5" t="s">
        <v>18</v>
      </c>
      <c r="C16" s="11">
        <v>45</v>
      </c>
      <c r="D16" s="18">
        <v>75</v>
      </c>
      <c r="E16" s="22"/>
      <c r="F16" s="22"/>
    </row>
    <row r="17" spans="1:10" x14ac:dyDescent="0.2">
      <c r="B17" s="6" t="s">
        <v>19</v>
      </c>
      <c r="C17" s="12">
        <v>0</v>
      </c>
      <c r="D17" s="14">
        <v>100</v>
      </c>
      <c r="E17" s="22"/>
      <c r="F17" s="22"/>
    </row>
    <row r="18" spans="1:10" x14ac:dyDescent="0.2">
      <c r="B18" s="6" t="s">
        <v>4</v>
      </c>
      <c r="C18" s="12">
        <v>10</v>
      </c>
      <c r="D18" s="14">
        <v>20</v>
      </c>
      <c r="E18" s="22"/>
      <c r="F18" s="22"/>
    </row>
    <row r="19" spans="1:10" x14ac:dyDescent="0.2">
      <c r="B19" s="6" t="s">
        <v>5</v>
      </c>
      <c r="C19" s="12">
        <v>6</v>
      </c>
      <c r="D19" s="14">
        <v>15</v>
      </c>
      <c r="E19" s="22"/>
      <c r="F19" s="22"/>
    </row>
    <row r="20" spans="1:10" x14ac:dyDescent="0.2">
      <c r="B20" s="6" t="s">
        <v>6</v>
      </c>
      <c r="C20" s="12">
        <v>6</v>
      </c>
      <c r="D20" s="14">
        <v>15</v>
      </c>
      <c r="E20" s="22"/>
      <c r="F20" s="22"/>
      <c r="J20" s="2" t="s">
        <v>17</v>
      </c>
    </row>
    <row r="21" spans="1:10" x14ac:dyDescent="0.2">
      <c r="B21" s="6" t="s">
        <v>7</v>
      </c>
      <c r="C21" s="12">
        <v>12</v>
      </c>
      <c r="D21" s="14">
        <v>40</v>
      </c>
      <c r="E21" s="22"/>
      <c r="F21" s="22"/>
    </row>
    <row r="22" spans="1:10" ht="13.5" thickBot="1" x14ac:dyDescent="0.25">
      <c r="B22" s="24" t="s">
        <v>20</v>
      </c>
      <c r="C22" s="13">
        <v>0</v>
      </c>
      <c r="D22" s="15">
        <v>100</v>
      </c>
      <c r="E22" s="22"/>
      <c r="F22" s="22"/>
    </row>
    <row r="24" spans="1:10" ht="13.5" thickBot="1" x14ac:dyDescent="0.25">
      <c r="B24" s="19" t="s">
        <v>12</v>
      </c>
    </row>
    <row r="25" spans="1:10" ht="13.5" thickBot="1" x14ac:dyDescent="0.25">
      <c r="B25" s="20" t="s">
        <v>13</v>
      </c>
      <c r="C25" s="28" t="s">
        <v>8</v>
      </c>
      <c r="D25" s="26" t="s">
        <v>9</v>
      </c>
      <c r="E25" s="16" t="s">
        <v>11</v>
      </c>
      <c r="F25" s="22"/>
    </row>
    <row r="26" spans="1:10" x14ac:dyDescent="0.2">
      <c r="B26" s="5" t="s">
        <v>10</v>
      </c>
      <c r="C26" s="11">
        <v>2.2999999999999998</v>
      </c>
      <c r="D26" s="8">
        <v>2.6</v>
      </c>
      <c r="E26" s="30">
        <f>(C5*A5+C6*A6+C8*A8+C9*A9+C10*A10+C11*A11+A7*C7)*0.01</f>
        <v>2.2999999978580816</v>
      </c>
      <c r="F26" s="35"/>
    </row>
    <row r="27" spans="1:10" x14ac:dyDescent="0.2">
      <c r="B27" s="6" t="s">
        <v>14</v>
      </c>
      <c r="C27" s="12">
        <v>0.37</v>
      </c>
      <c r="D27" s="9">
        <v>3.1</v>
      </c>
      <c r="E27" s="34">
        <f>(A5*D5+A6*D6+A8*D8+A9*D9+A10*D10+A11*D11+A7*D7)*0.01</f>
        <v>2.86786820241214</v>
      </c>
      <c r="F27" s="35"/>
    </row>
    <row r="28" spans="1:10" x14ac:dyDescent="0.2">
      <c r="B28" s="43" t="s">
        <v>23</v>
      </c>
      <c r="C28" s="12">
        <v>1.4</v>
      </c>
      <c r="D28" s="9">
        <v>3.4</v>
      </c>
      <c r="E28" s="34">
        <f>(A5*E5+A6*E6+A8*E8+A9*E9+A10*E10+A11*E11+A7*E7)*0.01</f>
        <v>1.4291666666666667</v>
      </c>
      <c r="F28" s="35"/>
      <c r="G28" s="35"/>
    </row>
    <row r="29" spans="1:10" ht="13.5" thickBot="1" x14ac:dyDescent="0.25">
      <c r="B29" s="24" t="s">
        <v>24</v>
      </c>
      <c r="C29" s="13">
        <v>0.7</v>
      </c>
      <c r="D29" s="10">
        <v>1.5</v>
      </c>
      <c r="E29" s="31">
        <f>(A5*F5+A6*F6+A7*F7+A8*F8+A9*F9+A10*F10+A11*F11)*0.01</f>
        <v>0.69999999999999984</v>
      </c>
      <c r="F29" s="35"/>
      <c r="G29" s="35"/>
    </row>
    <row r="31" spans="1:10" ht="13.5" thickBot="1" x14ac:dyDescent="0.25">
      <c r="A31" s="19" t="s">
        <v>25</v>
      </c>
    </row>
    <row r="32" spans="1:10" ht="13.5" thickBot="1" x14ac:dyDescent="0.25">
      <c r="B32" s="32">
        <f>(G5*A5+G6*A6+G8*A8+G9*A9+G10*A10+G11*A11+A7*G7)*0.01</f>
        <v>66.5194849588257</v>
      </c>
    </row>
  </sheetData>
  <phoneticPr fontId="0" type="noConversion"/>
  <pageMargins left="0.75" right="0.75" top="1" bottom="1" header="0.5" footer="0.5"/>
  <pageSetup paperSize="9" orientation="portrait" horizontalDpi="2400" verticalDpi="2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OptimizationSolution">
                <anchor moveWithCells="1" sizeWithCells="1">
                  <from>
                    <xdr:col>5</xdr:col>
                    <xdr:colOff>114300</xdr:colOff>
                    <xdr:row>15</xdr:row>
                    <xdr:rowOff>114300</xdr:rowOff>
                  </from>
                  <to>
                    <xdr:col>6</xdr:col>
                    <xdr:colOff>581025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J32"/>
  <sheetViews>
    <sheetView workbookViewId="0">
      <selection activeCell="B32" sqref="B32"/>
    </sheetView>
  </sheetViews>
  <sheetFormatPr defaultRowHeight="12.75" x14ac:dyDescent="0.2"/>
  <cols>
    <col min="1" max="1" width="12.42578125" customWidth="1"/>
    <col min="2" max="2" width="30.140625" customWidth="1"/>
    <col min="3" max="3" width="13.42578125" customWidth="1"/>
    <col min="4" max="4" width="14.140625" customWidth="1"/>
    <col min="5" max="5" width="17" customWidth="1"/>
    <col min="6" max="6" width="14.42578125" customWidth="1"/>
    <col min="7" max="7" width="25" customWidth="1"/>
  </cols>
  <sheetData>
    <row r="1" spans="1:8" ht="15.75" x14ac:dyDescent="0.25">
      <c r="A1" s="1" t="s">
        <v>27</v>
      </c>
    </row>
    <row r="2" spans="1:8" ht="13.5" thickBot="1" x14ac:dyDescent="0.25"/>
    <row r="3" spans="1:8" ht="13.5" thickBot="1" x14ac:dyDescent="0.25">
      <c r="A3" s="4" t="s">
        <v>15</v>
      </c>
      <c r="B3" s="16" t="s">
        <v>0</v>
      </c>
      <c r="C3" s="17" t="s">
        <v>26</v>
      </c>
      <c r="D3" s="3"/>
      <c r="E3" s="23"/>
      <c r="F3" s="23"/>
      <c r="G3" s="4" t="s">
        <v>3</v>
      </c>
      <c r="H3" s="2"/>
    </row>
    <row r="4" spans="1:8" ht="13.5" thickBot="1" x14ac:dyDescent="0.25">
      <c r="A4" s="21" t="s">
        <v>16</v>
      </c>
      <c r="B4" s="21"/>
      <c r="C4" s="22" t="s">
        <v>1</v>
      </c>
      <c r="D4" s="16" t="s">
        <v>2</v>
      </c>
      <c r="E4" s="16" t="s">
        <v>21</v>
      </c>
      <c r="F4" s="16" t="s">
        <v>22</v>
      </c>
      <c r="G4" s="7"/>
      <c r="H4" s="2"/>
    </row>
    <row r="5" spans="1:8" ht="13.5" thickBot="1" x14ac:dyDescent="0.25">
      <c r="A5" s="29">
        <v>58.333333333333329</v>
      </c>
      <c r="B5" s="5" t="s">
        <v>18</v>
      </c>
      <c r="C5" s="36">
        <v>2.95</v>
      </c>
      <c r="D5" s="8">
        <v>0.55000000000000004</v>
      </c>
      <c r="E5" s="8">
        <v>2.4500000000000002</v>
      </c>
      <c r="F5" s="18">
        <v>1.2</v>
      </c>
      <c r="G5" s="40">
        <v>75.5</v>
      </c>
      <c r="H5" s="2"/>
    </row>
    <row r="6" spans="1:8" ht="13.5" thickBot="1" x14ac:dyDescent="0.25">
      <c r="A6" s="29">
        <v>4.4940030151751635</v>
      </c>
      <c r="B6" s="6" t="s">
        <v>19</v>
      </c>
      <c r="C6" s="37">
        <v>3.64</v>
      </c>
      <c r="D6" s="9">
        <v>0.78</v>
      </c>
      <c r="E6" s="9">
        <v>0</v>
      </c>
      <c r="F6" s="14">
        <v>0</v>
      </c>
      <c r="G6" s="41">
        <v>68</v>
      </c>
      <c r="H6" s="2"/>
    </row>
    <row r="7" spans="1:8" ht="13.5" thickBot="1" x14ac:dyDescent="0.25">
      <c r="A7" s="29">
        <v>9.9990000000000006</v>
      </c>
      <c r="B7" s="6" t="s">
        <v>4</v>
      </c>
      <c r="C7" s="37">
        <v>2</v>
      </c>
      <c r="D7" s="9">
        <v>23.4</v>
      </c>
      <c r="E7" s="9">
        <v>0</v>
      </c>
      <c r="F7" s="14">
        <v>0</v>
      </c>
      <c r="G7" s="41">
        <v>97</v>
      </c>
      <c r="H7" s="2"/>
    </row>
    <row r="8" spans="1:8" ht="13.5" thickBot="1" x14ac:dyDescent="0.25">
      <c r="A8" s="29">
        <v>9.1736636514914984</v>
      </c>
      <c r="B8" s="6" t="s">
        <v>5</v>
      </c>
      <c r="C8" s="37">
        <v>1.5</v>
      </c>
      <c r="D8" s="9">
        <v>0.7</v>
      </c>
      <c r="E8" s="9">
        <v>0</v>
      </c>
      <c r="F8" s="14">
        <v>0</v>
      </c>
      <c r="G8" s="41">
        <v>36.200000000000003</v>
      </c>
      <c r="H8" s="2"/>
    </row>
    <row r="9" spans="1:8" ht="13.5" thickBot="1" x14ac:dyDescent="0.25">
      <c r="A9" s="29">
        <v>6</v>
      </c>
      <c r="B9" s="6" t="s">
        <v>6</v>
      </c>
      <c r="C9" s="37">
        <v>0.5</v>
      </c>
      <c r="D9" s="9">
        <v>0.5</v>
      </c>
      <c r="E9" s="9">
        <v>0</v>
      </c>
      <c r="F9" s="14">
        <v>0</v>
      </c>
      <c r="G9" s="41">
        <v>34.299999999999997</v>
      </c>
      <c r="H9" s="2"/>
    </row>
    <row r="10" spans="1:8" ht="13.5" thickBot="1" x14ac:dyDescent="0.25">
      <c r="A10" s="29">
        <v>12</v>
      </c>
      <c r="B10" s="6" t="s">
        <v>7</v>
      </c>
      <c r="C10" s="37">
        <v>0.4</v>
      </c>
      <c r="D10" s="9">
        <v>0.65</v>
      </c>
      <c r="E10" s="9">
        <v>0</v>
      </c>
      <c r="F10" s="14">
        <v>0</v>
      </c>
      <c r="G10" s="41">
        <v>36.200000000000003</v>
      </c>
      <c r="H10" s="2"/>
    </row>
    <row r="11" spans="1:8" ht="13.5" thickBot="1" x14ac:dyDescent="0.25">
      <c r="A11" s="29">
        <v>0</v>
      </c>
      <c r="B11" s="24" t="s">
        <v>20</v>
      </c>
      <c r="C11" s="38">
        <v>2</v>
      </c>
      <c r="D11" s="10">
        <v>84.5</v>
      </c>
      <c r="E11" s="10">
        <v>0</v>
      </c>
      <c r="F11" s="15">
        <v>0</v>
      </c>
      <c r="G11" s="42">
        <v>120</v>
      </c>
      <c r="H11" s="2"/>
    </row>
    <row r="12" spans="1:8" x14ac:dyDescent="0.2">
      <c r="A12" s="33">
        <f>SUM(A5:A11)</f>
        <v>99.999999999999986</v>
      </c>
    </row>
    <row r="14" spans="1:8" ht="13.5" thickBot="1" x14ac:dyDescent="0.25">
      <c r="B14" s="19" t="s">
        <v>28</v>
      </c>
    </row>
    <row r="15" spans="1:8" ht="12" customHeight="1" thickBot="1" x14ac:dyDescent="0.25">
      <c r="A15" s="39"/>
      <c r="B15" s="25" t="s">
        <v>0</v>
      </c>
      <c r="C15" s="26" t="s">
        <v>8</v>
      </c>
      <c r="D15" s="27" t="s">
        <v>9</v>
      </c>
      <c r="E15" s="22"/>
      <c r="F15" s="22"/>
    </row>
    <row r="16" spans="1:8" x14ac:dyDescent="0.2">
      <c r="B16" s="5" t="s">
        <v>18</v>
      </c>
      <c r="C16" s="11">
        <v>45</v>
      </c>
      <c r="D16" s="18">
        <v>75</v>
      </c>
      <c r="E16" s="22"/>
      <c r="F16" s="22"/>
    </row>
    <row r="17" spans="1:10" x14ac:dyDescent="0.2">
      <c r="B17" s="6" t="s">
        <v>19</v>
      </c>
      <c r="C17" s="12"/>
      <c r="D17" s="14"/>
      <c r="E17" s="22"/>
      <c r="F17" s="22"/>
    </row>
    <row r="18" spans="1:10" x14ac:dyDescent="0.2">
      <c r="B18" s="6" t="s">
        <v>4</v>
      </c>
      <c r="C18" s="12">
        <v>10</v>
      </c>
      <c r="D18" s="14">
        <v>20</v>
      </c>
      <c r="E18" s="22"/>
      <c r="F18" s="22"/>
    </row>
    <row r="19" spans="1:10" x14ac:dyDescent="0.2">
      <c r="B19" s="6" t="s">
        <v>5</v>
      </c>
      <c r="C19" s="12">
        <v>6</v>
      </c>
      <c r="D19" s="14">
        <v>15</v>
      </c>
      <c r="E19" s="22"/>
      <c r="F19" s="22"/>
    </row>
    <row r="20" spans="1:10" x14ac:dyDescent="0.2">
      <c r="B20" s="6" t="s">
        <v>6</v>
      </c>
      <c r="C20" s="12">
        <v>6</v>
      </c>
      <c r="D20" s="14">
        <v>15</v>
      </c>
      <c r="E20" s="22"/>
      <c r="F20" s="22"/>
      <c r="J20" s="2" t="s">
        <v>17</v>
      </c>
    </row>
    <row r="21" spans="1:10" x14ac:dyDescent="0.2">
      <c r="B21" s="6" t="s">
        <v>7</v>
      </c>
      <c r="C21" s="12">
        <v>12</v>
      </c>
      <c r="D21" s="14">
        <v>40</v>
      </c>
      <c r="E21" s="22"/>
      <c r="F21" s="22"/>
    </row>
    <row r="22" spans="1:10" ht="13.5" thickBot="1" x14ac:dyDescent="0.25">
      <c r="B22" s="24" t="s">
        <v>20</v>
      </c>
      <c r="C22" s="13"/>
      <c r="D22" s="15"/>
      <c r="E22" s="22"/>
      <c r="F22" s="22"/>
    </row>
    <row r="24" spans="1:10" ht="13.5" thickBot="1" x14ac:dyDescent="0.25">
      <c r="B24" s="19" t="s">
        <v>12</v>
      </c>
    </row>
    <row r="25" spans="1:10" ht="13.5" thickBot="1" x14ac:dyDescent="0.25">
      <c r="B25" s="20" t="s">
        <v>13</v>
      </c>
      <c r="C25" s="28" t="s">
        <v>8</v>
      </c>
      <c r="D25" s="26" t="s">
        <v>9</v>
      </c>
      <c r="E25" s="16" t="s">
        <v>11</v>
      </c>
      <c r="F25" s="22"/>
    </row>
    <row r="26" spans="1:10" x14ac:dyDescent="0.2">
      <c r="B26" s="5" t="s">
        <v>10</v>
      </c>
      <c r="C26" s="11">
        <v>2.2999999999999998</v>
      </c>
      <c r="D26" s="8">
        <v>2.6</v>
      </c>
      <c r="E26" s="30">
        <f>(C5*A5+C6*A6+C8*A8+C9*A9+C10*A10+C11*A11+A7*C7)*0.01</f>
        <v>2.2999999978580816</v>
      </c>
      <c r="F26" s="35"/>
    </row>
    <row r="27" spans="1:10" x14ac:dyDescent="0.2">
      <c r="B27" s="6" t="s">
        <v>14</v>
      </c>
      <c r="C27" s="12">
        <v>0.37</v>
      </c>
      <c r="D27" s="9">
        <v>3.1</v>
      </c>
      <c r="E27" s="34">
        <f>(A5*D5+A6*D6+A8*D8+A9*D9+A10*D10+A11*D11+A7*D7)*0.01</f>
        <v>2.86786820241214</v>
      </c>
      <c r="F27" s="35"/>
    </row>
    <row r="28" spans="1:10" x14ac:dyDescent="0.2">
      <c r="B28" s="43" t="s">
        <v>23</v>
      </c>
      <c r="C28" s="12">
        <v>1.4</v>
      </c>
      <c r="D28" s="9">
        <v>3.4</v>
      </c>
      <c r="E28" s="34">
        <f>(A5*E5+A6*E6+A8*E8+A9*E9+A10*E10+A11*E11+A7*E7)*0.01</f>
        <v>1.4291666666666667</v>
      </c>
      <c r="F28" s="35"/>
      <c r="G28" s="35"/>
    </row>
    <row r="29" spans="1:10" ht="13.5" thickBot="1" x14ac:dyDescent="0.25">
      <c r="B29" s="24" t="s">
        <v>24</v>
      </c>
      <c r="C29" s="13">
        <v>0.7</v>
      </c>
      <c r="D29" s="10">
        <v>1.5</v>
      </c>
      <c r="E29" s="31">
        <f>(A5*F5+A6*F6+A7*F7+A8*F8+A9*F9+A10*F10+A11*F11)*0.01</f>
        <v>0.69999999999999984</v>
      </c>
      <c r="F29" s="35"/>
      <c r="G29" s="35"/>
    </row>
    <row r="31" spans="1:10" ht="13.5" thickBot="1" x14ac:dyDescent="0.25">
      <c r="A31" s="19" t="s">
        <v>25</v>
      </c>
    </row>
    <row r="32" spans="1:10" ht="13.5" thickBot="1" x14ac:dyDescent="0.25">
      <c r="B32" s="32">
        <f>(G5*A5+G6*A6+G8*A8+G9*A9+G10*A10+G11*A11+A7*G7)*0.01</f>
        <v>66.5194849588257</v>
      </c>
    </row>
  </sheetData>
  <pageMargins left="0.75" right="0.75" top="1" bottom="1" header="0.5" footer="0.5"/>
  <pageSetup paperSize="9" orientation="portrait" horizontalDpi="2400" verticalDpi="24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 1</vt:lpstr>
      <vt:lpstr>Без макроса</vt:lpstr>
    </vt:vector>
  </TitlesOfParts>
  <Company>tim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Forb</dc:creator>
  <cp:lastModifiedBy>vvlav</cp:lastModifiedBy>
  <dcterms:created xsi:type="dcterms:W3CDTF">2004-03-02T08:58:05Z</dcterms:created>
  <dcterms:modified xsi:type="dcterms:W3CDTF">2020-05-01T05:30:30Z</dcterms:modified>
</cp:coreProperties>
</file>